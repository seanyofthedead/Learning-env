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FY26 Q3 Execution" sheetId="1" r:id="rId1"/>
  </sheets>
  <calcPr calcId="191029" fullCalcOnLoad="1"/>
</workbook>
</file>

<file path=xl/sharedStrings.xml><?xml version="1.0" encoding="utf-8"?>
<sst xmlns="http://schemas.openxmlformats.org/spreadsheetml/2006/main" count="77" uniqueCount="77">
  <si>
    <t xml:space="preserve">FY26 Q3 Execution Report — Operation and Maintenance (O&amp;M)</t>
  </si>
  <si>
    <t xml:space="preserve">Demonstration Directorate · Cumulative fiscal year to date through 30 June 2026 · Dollars in thousands ($K)</t>
  </si>
  <si>
    <t xml:space="preserve">SYNTHETIC DEMONSTRATION DATA — not real NSA, DoD, vendor, personnel or program information</t>
  </si>
  <si>
    <t xml:space="preserve">Code</t>
  </si>
  <si>
    <t xml:space="preserve">Program / activity</t>
  </si>
  <si>
    <t xml:space="preserve">FY26 annual plan</t>
  </si>
  <si>
    <t xml:space="preserve">Q3 obligation plan</t>
  </si>
  <si>
    <t xml:space="preserve">Obligations</t>
  </si>
  <si>
    <t xml:space="preserve">Obligation variance</t>
  </si>
  <si>
    <t xml:space="preserve">Obligation variance %</t>
  </si>
  <si>
    <t xml:space="preserve">Q3 expenditure plan</t>
  </si>
  <si>
    <t xml:space="preserve">Expenditures</t>
  </si>
  <si>
    <t xml:space="preserve">Expenditure variance</t>
  </si>
  <si>
    <t xml:space="preserve">Expenditure variance %</t>
  </si>
  <si>
    <t xml:space="preserve">Remarks</t>
  </si>
  <si>
    <t xml:space="preserve">SYN-101</t>
  </si>
  <si>
    <t xml:space="preserve">Workforce Training &amp; Certification</t>
  </si>
  <si>
    <t xml:space="preserve">SYN-102</t>
  </si>
  <si>
    <t xml:space="preserve">Enterprise Help Desk Services</t>
  </si>
  <si>
    <t xml:space="preserve">Follow-on contract award slipped from Mar to Aug (source selection delay); incumbent continuing on reduced-scope bridge.</t>
  </si>
  <si>
    <t xml:space="preserve">SYN-103</t>
  </si>
  <si>
    <t xml:space="preserve">Facilities Sustainment</t>
  </si>
  <si>
    <t xml:space="preserve">Received $1,800K on 14 May via below-threshold reprogramming for roof and HVAC repairs; spend plan not yet rebaselined.</t>
  </si>
  <si>
    <t xml:space="preserve">SYN-104</t>
  </si>
  <si>
    <t xml:space="preserve">Utilities</t>
  </si>
  <si>
    <t xml:space="preserve">Seasonal cooling load slightly above estimate.</t>
  </si>
  <si>
    <t xml:space="preserve">SYN-105</t>
  </si>
  <si>
    <t xml:space="preserve">Network Operations Support</t>
  </si>
  <si>
    <t xml:space="preserve">Two contractor positions vacant in May.</t>
  </si>
  <si>
    <t xml:space="preserve">SYN-106</t>
  </si>
  <si>
    <t xml:space="preserve">Data Center Operations</t>
  </si>
  <si>
    <t xml:space="preserve">SYN-107</t>
  </si>
  <si>
    <t xml:space="preserve">End-User Device Refresh</t>
  </si>
  <si>
    <t xml:space="preserve">One-time purchase of 1,150 replacement workstations (end of life), approved by resource board 2 Jun; unit cost below expense/investment threshold.</t>
  </si>
  <si>
    <t xml:space="preserve">SYN-108</t>
  </si>
  <si>
    <t xml:space="preserve">Software Licenses &amp; Maintenance</t>
  </si>
  <si>
    <t xml:space="preserve">Document SYN-26-0447 ($1,250K annual license renewal) posted 12 May and again 13 May.</t>
  </si>
  <si>
    <t xml:space="preserve">SYN-109</t>
  </si>
  <si>
    <t xml:space="preserve">Mission Support Services</t>
  </si>
  <si>
    <t xml:space="preserve">Task order obligated on schedule; contractor invoices for Apr–Jun not yet received.</t>
  </si>
  <si>
    <t xml:space="preserve">SYN-110</t>
  </si>
  <si>
    <t xml:space="preserve">Cybersecurity Tools Sustainment</t>
  </si>
  <si>
    <t xml:space="preserve">SYN-111</t>
  </si>
  <si>
    <t xml:space="preserve">Travel — Mission</t>
  </si>
  <si>
    <t xml:space="preserve">SYN-112</t>
  </si>
  <si>
    <t xml:space="preserve">Travel — Training</t>
  </si>
  <si>
    <t xml:space="preserve">SYN-113</t>
  </si>
  <si>
    <t xml:space="preserve">Supplies &amp; Materials</t>
  </si>
  <si>
    <t xml:space="preserve">SYN-114</t>
  </si>
  <si>
    <t xml:space="preserve">Printing &amp; Reproduction</t>
  </si>
  <si>
    <t xml:space="preserve">SYN-115</t>
  </si>
  <si>
    <t xml:space="preserve">Telecommunications Services</t>
  </si>
  <si>
    <t xml:space="preserve">SYN-116</t>
  </si>
  <si>
    <t xml:space="preserve">Equipment Maintenance</t>
  </si>
  <si>
    <t xml:space="preserve">SYN-117</t>
  </si>
  <si>
    <t xml:space="preserve">Records Management</t>
  </si>
  <si>
    <t xml:space="preserve">SYN-118</t>
  </si>
  <si>
    <t xml:space="preserve">Logistics &amp; Warehousing</t>
  </si>
  <si>
    <t xml:space="preserve">SYN-119</t>
  </si>
  <si>
    <t xml:space="preserve">Security Operations Support</t>
  </si>
  <si>
    <t xml:space="preserve">SYN-120</t>
  </si>
  <si>
    <t xml:space="preserve">Analytic Tools &amp; Data Services</t>
  </si>
  <si>
    <t xml:space="preserve">Annual license true-up deferred to Jul.</t>
  </si>
  <si>
    <t xml:space="preserve">SYN-121</t>
  </si>
  <si>
    <t xml:space="preserve">Studies &amp; Analysis</t>
  </si>
  <si>
    <t xml:space="preserve">SYN-122</t>
  </si>
  <si>
    <t xml:space="preserve">Financial Systems Support</t>
  </si>
  <si>
    <t xml:space="preserve">SYN-123</t>
  </si>
  <si>
    <t xml:space="preserve">Professional Development &amp; Conferences</t>
  </si>
  <si>
    <t xml:space="preserve">SYN-124</t>
  </si>
  <si>
    <t xml:space="preserve">Environmental &amp; Safety Compliance</t>
  </si>
  <si>
    <t xml:space="preserve">SYN-125</t>
  </si>
  <si>
    <t xml:space="preserve">Transportation of Things</t>
  </si>
  <si>
    <t xml:space="preserve"/>
  </si>
  <si>
    <t xml:space="preserve">Total</t>
  </si>
  <si>
    <t xml:space="preserve">Notes: Variance = actual minus plan; negative means below plan. Plan = original FY26 spend plan, cumulative through Q3. Expenditures = disbursements recorded through 30 June.</t>
  </si>
  <si>
    <t xml:space="preserve">Prepared for training use only.</t>
  </si>
</sst>
</file>

<file path=xl/styles.xml><?xml version="1.0" encoding="utf-8"?>
<styleSheet xmlns="http://schemas.openxmlformats.org/spreadsheetml/2006/main">
  <numFmts count="1">
    <numFmt numFmtId="164" formatCode="0.0%"/>
  </numFmts>
  <fonts count="4">
    <font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xfId="0" applyAlignment="1">
      <alignment vertical="top"/>
    </xf>
    <xf numFmtId="0" fontId="2" fillId="0" borderId="0" xfId="0" applyFont="1"/>
    <xf numFmtId="0" fontId="1" fillId="0" borderId="0" xfId="0" applyFont="1"/>
    <xf numFmtId="0" fontId="1" fillId="2" borderId="0" xfId="0" applyFont="1" applyFill="1" applyAlignment="1">
      <alignment wrapText="1" vertical="center"/>
    </xf>
    <xf numFmtId="3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  <xf numFmtId="0" fontId="0" fillId="0" borderId="0" xfId="0" applyAlignment="1">
      <alignment wrapText="1" vertical="top"/>
    </xf>
    <xf numFmtId="0" fontId="1" fillId="0" borderId="1" xfId="0" applyFont="1" applyBorder="1"/>
    <xf numFmtId="3" fontId="1" fillId="0" borderId="1" xfId="0" applyNumberFormat="1" applyFont="1" applyBorder="1"/>
    <xf numFmtId="164" fontId="1" fillId="0" borderId="1" xfId="0" applyNumberFormat="1" applyFont="1" applyBorder="1"/>
    <xf numFmtId="0" fontId="3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34"/>
  <sheetViews>
    <sheetView workbookViewId="0">
      <pane ySplit="5" topLeftCell="A6" activePane="bottomLeft" state="frozen"/>
      <selection pane="bottomLeft" activeCell="A6" sqref="A6"/>
    </sheetView>
  </sheetViews>
  <sheetFormatPr defaultRowHeight="13"/>
  <cols>
    <col min="1" max="1" width="10" customWidth="1"/>
    <col min="2" max="2" width="34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12" customWidth="1"/>
    <col min="10" max="10" width="12" customWidth="1"/>
    <col min="11" max="11" width="12" customWidth="1"/>
    <col min="12" max="12" width="70" customWidth="1"/>
  </cols>
  <sheetData>
    <row r="1" ht="20" customHeight="1">
      <c r="A1" s="1" t="s">
        <v>0</v>
      </c>
    </row>
    <row r="2">
      <c r="A2" s="0" t="s">
        <v>1</v>
      </c>
    </row>
    <row r="3">
      <c r="A3" s="2" t="s">
        <v>2</v>
      </c>
    </row>
    <row r="5" ht="40" customHeight="1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</row>
    <row r="6">
      <c r="A6" s="0" t="s">
        <v>15</v>
      </c>
      <c r="B6" s="0" t="s">
        <v>16</v>
      </c>
      <c r="C6" s="4">
        <v>4800</v>
      </c>
      <c r="D6" s="4">
        <v>3600</v>
      </c>
      <c r="E6" s="4">
        <v>3540</v>
      </c>
      <c r="F6" s="4">
        <f>E6-D6</f>
        <v>-60</v>
      </c>
      <c r="G6" s="5">
        <f>IF(D6=0,0,F6/D6)</f>
        <v>-0.016666666666666666</v>
      </c>
      <c r="H6" s="4">
        <v>2900</v>
      </c>
      <c r="I6" s="4">
        <v>2860</v>
      </c>
      <c r="J6" s="4">
        <f>I6-H6</f>
        <v>-40</v>
      </c>
      <c r="K6" s="5">
        <f>IF(H6=0,0,J6/H6)</f>
        <v>-0.013793103448275862</v>
      </c>
    </row>
    <row r="7">
      <c r="A7" s="0" t="s">
        <v>17</v>
      </c>
      <c r="B7" s="0" t="s">
        <v>18</v>
      </c>
      <c r="C7" s="4">
        <v>7200</v>
      </c>
      <c r="D7" s="4">
        <v>6000</v>
      </c>
      <c r="E7" s="4">
        <v>1200</v>
      </c>
      <c r="F7" s="4">
        <f>E7-D7</f>
        <v>-4800</v>
      </c>
      <c r="G7" s="5">
        <f>IF(D7=0,0,F7/D7)</f>
        <v>-0.8</v>
      </c>
      <c r="H7" s="4">
        <v>2000</v>
      </c>
      <c r="I7" s="4">
        <v>700</v>
      </c>
      <c r="J7" s="4">
        <f>I7-H7</f>
        <v>-1300</v>
      </c>
      <c r="K7" s="5">
        <f>IF(H7=0,0,J7/H7)</f>
        <v>-0.65</v>
      </c>
      <c r="L7" s="6" t="s">
        <v>19</v>
      </c>
    </row>
    <row r="8">
      <c r="A8" s="0" t="s">
        <v>20</v>
      </c>
      <c r="B8" s="0" t="s">
        <v>21</v>
      </c>
      <c r="C8" s="4">
        <v>4800</v>
      </c>
      <c r="D8" s="4">
        <v>3600</v>
      </c>
      <c r="E8" s="4">
        <v>5400</v>
      </c>
      <c r="F8" s="4">
        <f>E8-D8</f>
        <v>1800</v>
      </c>
      <c r="G8" s="5">
        <f>IF(D8=0,0,F8/D8)</f>
        <v>0.5</v>
      </c>
      <c r="H8" s="4">
        <v>2700</v>
      </c>
      <c r="I8" s="4">
        <v>3050</v>
      </c>
      <c r="J8" s="4">
        <f>I8-H8</f>
        <v>350</v>
      </c>
      <c r="K8" s="5">
        <f>IF(H8=0,0,J8/H8)</f>
        <v>0.12962962962962962</v>
      </c>
      <c r="L8" s="6" t="s">
        <v>22</v>
      </c>
    </row>
    <row r="9">
      <c r="A9" s="0" t="s">
        <v>23</v>
      </c>
      <c r="B9" s="0" t="s">
        <v>24</v>
      </c>
      <c r="C9" s="4">
        <v>5200</v>
      </c>
      <c r="D9" s="4">
        <v>3900</v>
      </c>
      <c r="E9" s="4">
        <v>3960</v>
      </c>
      <c r="F9" s="4">
        <f>E9-D9</f>
        <v>60</v>
      </c>
      <c r="G9" s="5">
        <f>IF(D9=0,0,F9/D9)</f>
        <v>0.015384615384615385</v>
      </c>
      <c r="H9" s="4">
        <v>3900</v>
      </c>
      <c r="I9" s="4">
        <v>3880</v>
      </c>
      <c r="J9" s="4">
        <f>I9-H9</f>
        <v>-20</v>
      </c>
      <c r="K9" s="5">
        <f>IF(H9=0,0,J9/H9)</f>
        <v>-0.005128205128205128</v>
      </c>
      <c r="L9" s="6" t="s">
        <v>25</v>
      </c>
    </row>
    <row r="10">
      <c r="A10" s="0" t="s">
        <v>26</v>
      </c>
      <c r="B10" s="0" t="s">
        <v>27</v>
      </c>
      <c r="C10" s="4">
        <v>9600</v>
      </c>
      <c r="D10" s="4">
        <v>7200</v>
      </c>
      <c r="E10" s="4">
        <v>7050</v>
      </c>
      <c r="F10" s="4">
        <f>E10-D10</f>
        <v>-150</v>
      </c>
      <c r="G10" s="5">
        <f>IF(D10=0,0,F10/D10)</f>
        <v>-0.020833333333333332</v>
      </c>
      <c r="H10" s="4">
        <v>5800</v>
      </c>
      <c r="I10" s="4">
        <v>5700</v>
      </c>
      <c r="J10" s="4">
        <f>I10-H10</f>
        <v>-100</v>
      </c>
      <c r="K10" s="5">
        <f>IF(H10=0,0,J10/H10)</f>
        <v>-0.017241379310344827</v>
      </c>
      <c r="L10" s="6" t="s">
        <v>28</v>
      </c>
    </row>
    <row r="11">
      <c r="A11" s="0" t="s">
        <v>29</v>
      </c>
      <c r="B11" s="0" t="s">
        <v>30</v>
      </c>
      <c r="C11" s="4">
        <v>6400</v>
      </c>
      <c r="D11" s="4">
        <v>4800</v>
      </c>
      <c r="E11" s="4">
        <v>4860</v>
      </c>
      <c r="F11" s="4">
        <f>E11-D11</f>
        <v>60</v>
      </c>
      <c r="G11" s="5">
        <f>IF(D11=0,0,F11/D11)</f>
        <v>0.0125</v>
      </c>
      <c r="H11" s="4">
        <v>3800</v>
      </c>
      <c r="I11" s="4">
        <v>3760</v>
      </c>
      <c r="J11" s="4">
        <f>I11-H11</f>
        <v>-40</v>
      </c>
      <c r="K11" s="5">
        <f>IF(H11=0,0,J11/H11)</f>
        <v>-0.010526315789473684</v>
      </c>
    </row>
    <row r="12">
      <c r="A12" s="0" t="s">
        <v>31</v>
      </c>
      <c r="B12" s="0" t="s">
        <v>32</v>
      </c>
      <c r="C12" s="4">
        <v>2800</v>
      </c>
      <c r="D12" s="4">
        <v>2100</v>
      </c>
      <c r="E12" s="4">
        <v>5200</v>
      </c>
      <c r="F12" s="4">
        <f>E12-D12</f>
        <v>3100</v>
      </c>
      <c r="G12" s="5">
        <f>IF(D12=0,0,F12/D12)</f>
        <v>1.4761904761904763</v>
      </c>
      <c r="H12" s="4">
        <v>1600</v>
      </c>
      <c r="I12" s="4">
        <v>2050</v>
      </c>
      <c r="J12" s="4">
        <f>I12-H12</f>
        <v>450</v>
      </c>
      <c r="K12" s="5">
        <f>IF(H12=0,0,J12/H12)</f>
        <v>0.28125</v>
      </c>
      <c r="L12" s="6" t="s">
        <v>33</v>
      </c>
    </row>
    <row r="13">
      <c r="A13" s="0" t="s">
        <v>34</v>
      </c>
      <c r="B13" s="0" t="s">
        <v>35</v>
      </c>
      <c r="C13" s="4">
        <v>3800</v>
      </c>
      <c r="D13" s="4">
        <v>2500</v>
      </c>
      <c r="E13" s="4">
        <v>3750</v>
      </c>
      <c r="F13" s="4">
        <f>E13-D13</f>
        <v>1250</v>
      </c>
      <c r="G13" s="5">
        <f>IF(D13=0,0,F13/D13)</f>
        <v>0.5</v>
      </c>
      <c r="H13" s="4">
        <v>2000</v>
      </c>
      <c r="I13" s="4">
        <v>2010</v>
      </c>
      <c r="J13" s="4">
        <f>I13-H13</f>
        <v>10</v>
      </c>
      <c r="K13" s="5">
        <f>IF(H13=0,0,J13/H13)</f>
        <v>0.005</v>
      </c>
      <c r="L13" s="6" t="s">
        <v>36</v>
      </c>
    </row>
    <row r="14">
      <c r="A14" s="0" t="s">
        <v>37</v>
      </c>
      <c r="B14" s="0" t="s">
        <v>38</v>
      </c>
      <c r="C14" s="4">
        <v>7200</v>
      </c>
      <c r="D14" s="4">
        <v>5400</v>
      </c>
      <c r="E14" s="4">
        <v>5360</v>
      </c>
      <c r="F14" s="4">
        <f>E14-D14</f>
        <v>-40</v>
      </c>
      <c r="G14" s="5">
        <f>IF(D14=0,0,F14/D14)</f>
        <v>-0.007407407407407408</v>
      </c>
      <c r="H14" s="4">
        <v>4100</v>
      </c>
      <c r="I14" s="4">
        <v>1500</v>
      </c>
      <c r="J14" s="4">
        <f>I14-H14</f>
        <v>-2600</v>
      </c>
      <c r="K14" s="5">
        <f>IF(H14=0,0,J14/H14)</f>
        <v>-0.6341463414634146</v>
      </c>
      <c r="L14" s="6" t="s">
        <v>39</v>
      </c>
    </row>
    <row r="15">
      <c r="A15" s="0" t="s">
        <v>40</v>
      </c>
      <c r="B15" s="0" t="s">
        <v>41</v>
      </c>
      <c r="C15" s="4">
        <v>5600</v>
      </c>
      <c r="D15" s="4">
        <v>4200</v>
      </c>
      <c r="E15" s="4">
        <v>4150</v>
      </c>
      <c r="F15" s="4">
        <f>E15-D15</f>
        <v>-50</v>
      </c>
      <c r="G15" s="5">
        <f>IF(D15=0,0,F15/D15)</f>
        <v>-0.011904761904761904</v>
      </c>
      <c r="H15" s="4">
        <v>3300</v>
      </c>
      <c r="I15" s="4">
        <v>3240</v>
      </c>
      <c r="J15" s="4">
        <f>I15-H15</f>
        <v>-60</v>
      </c>
      <c r="K15" s="5">
        <f>IF(H15=0,0,J15/H15)</f>
        <v>-0.01818181818181818</v>
      </c>
    </row>
    <row r="16">
      <c r="A16" s="0" t="s">
        <v>42</v>
      </c>
      <c r="B16" s="0" t="s">
        <v>43</v>
      </c>
      <c r="C16" s="4">
        <v>1600</v>
      </c>
      <c r="D16" s="4">
        <v>1150</v>
      </c>
      <c r="E16" s="4">
        <v>1090</v>
      </c>
      <c r="F16" s="4">
        <f>E16-D16</f>
        <v>-60</v>
      </c>
      <c r="G16" s="5">
        <f>IF(D16=0,0,F16/D16)</f>
        <v>-0.05217391304347826</v>
      </c>
      <c r="H16" s="4">
        <v>1050</v>
      </c>
      <c r="I16" s="4">
        <v>990</v>
      </c>
      <c r="J16" s="4">
        <f>I16-H16</f>
        <v>-60</v>
      </c>
      <c r="K16" s="5">
        <f>IF(H16=0,0,J16/H16)</f>
        <v>-0.05714285714285714</v>
      </c>
    </row>
    <row r="17">
      <c r="A17" s="0" t="s">
        <v>44</v>
      </c>
      <c r="B17" s="0" t="s">
        <v>45</v>
      </c>
      <c r="C17" s="4">
        <v>600</v>
      </c>
      <c r="D17" s="4">
        <v>420</v>
      </c>
      <c r="E17" s="4">
        <v>400</v>
      </c>
      <c r="F17" s="4">
        <f>E17-D17</f>
        <v>-20</v>
      </c>
      <c r="G17" s="5">
        <f>IF(D17=0,0,F17/D17)</f>
        <v>-0.047619047619047616</v>
      </c>
      <c r="H17" s="4">
        <v>380</v>
      </c>
      <c r="I17" s="4">
        <v>360</v>
      </c>
      <c r="J17" s="4">
        <f>I17-H17</f>
        <v>-20</v>
      </c>
      <c r="K17" s="5">
        <f>IF(H17=0,0,J17/H17)</f>
        <v>-0.05263157894736842</v>
      </c>
    </row>
    <row r="18">
      <c r="A18" s="0" t="s">
        <v>46</v>
      </c>
      <c r="B18" s="0" t="s">
        <v>47</v>
      </c>
      <c r="C18" s="4">
        <v>1200</v>
      </c>
      <c r="D18" s="4">
        <v>900</v>
      </c>
      <c r="E18" s="4">
        <v>930</v>
      </c>
      <c r="F18" s="4">
        <f>E18-D18</f>
        <v>30</v>
      </c>
      <c r="G18" s="5">
        <f>IF(D18=0,0,F18/D18)</f>
        <v>0.03333333333333333</v>
      </c>
      <c r="H18" s="4">
        <v>760</v>
      </c>
      <c r="I18" s="4">
        <v>780</v>
      </c>
      <c r="J18" s="4">
        <f>I18-H18</f>
        <v>20</v>
      </c>
      <c r="K18" s="5">
        <f>IF(H18=0,0,J18/H18)</f>
        <v>0.02631578947368421</v>
      </c>
    </row>
    <row r="19">
      <c r="A19" s="0" t="s">
        <v>48</v>
      </c>
      <c r="B19" s="0" t="s">
        <v>49</v>
      </c>
      <c r="C19" s="4">
        <v>300</v>
      </c>
      <c r="D19" s="4">
        <v>225</v>
      </c>
      <c r="E19" s="4">
        <v>210</v>
      </c>
      <c r="F19" s="4">
        <f>E19-D19</f>
        <v>-15</v>
      </c>
      <c r="G19" s="5">
        <f>IF(D19=0,0,F19/D19)</f>
        <v>-0.06666666666666667</v>
      </c>
      <c r="H19" s="4">
        <v>200</v>
      </c>
      <c r="I19" s="4">
        <v>190</v>
      </c>
      <c r="J19" s="4">
        <f>I19-H19</f>
        <v>-10</v>
      </c>
      <c r="K19" s="5">
        <f>IF(H19=0,0,J19/H19)</f>
        <v>-0.05</v>
      </c>
    </row>
    <row r="20">
      <c r="A20" s="0" t="s">
        <v>50</v>
      </c>
      <c r="B20" s="0" t="s">
        <v>51</v>
      </c>
      <c r="C20" s="4">
        <v>4000</v>
      </c>
      <c r="D20" s="4">
        <v>3000</v>
      </c>
      <c r="E20" s="4">
        <v>3040</v>
      </c>
      <c r="F20" s="4">
        <f>E20-D20</f>
        <v>40</v>
      </c>
      <c r="G20" s="5">
        <f>IF(D20=0,0,F20/D20)</f>
        <v>0.013333333333333334</v>
      </c>
      <c r="H20" s="4">
        <v>2700</v>
      </c>
      <c r="I20" s="4">
        <v>2690</v>
      </c>
      <c r="J20" s="4">
        <f>I20-H20</f>
        <v>-10</v>
      </c>
      <c r="K20" s="5">
        <f>IF(H20=0,0,J20/H20)</f>
        <v>-0.003703703703703704</v>
      </c>
    </row>
    <row r="21">
      <c r="A21" s="0" t="s">
        <v>52</v>
      </c>
      <c r="B21" s="0" t="s">
        <v>53</v>
      </c>
      <c r="C21" s="4">
        <v>2400</v>
      </c>
      <c r="D21" s="4">
        <v>1800</v>
      </c>
      <c r="E21" s="4">
        <v>1760</v>
      </c>
      <c r="F21" s="4">
        <f>E21-D21</f>
        <v>-40</v>
      </c>
      <c r="G21" s="5">
        <f>IF(D21=0,0,F21/D21)</f>
        <v>-0.022222222222222223</v>
      </c>
      <c r="H21" s="4">
        <v>1350</v>
      </c>
      <c r="I21" s="4">
        <v>1330</v>
      </c>
      <c r="J21" s="4">
        <f>I21-H21</f>
        <v>-20</v>
      </c>
      <c r="K21" s="5">
        <f>IF(H21=0,0,J21/H21)</f>
        <v>-0.014814814814814815</v>
      </c>
    </row>
    <row r="22">
      <c r="A22" s="0" t="s">
        <v>54</v>
      </c>
      <c r="B22" s="0" t="s">
        <v>55</v>
      </c>
      <c r="C22" s="4">
        <v>900</v>
      </c>
      <c r="D22" s="4">
        <v>675</v>
      </c>
      <c r="E22" s="4">
        <v>690</v>
      </c>
      <c r="F22" s="4">
        <f>E22-D22</f>
        <v>15</v>
      </c>
      <c r="G22" s="5">
        <f>IF(D22=0,0,F22/D22)</f>
        <v>0.022222222222222223</v>
      </c>
      <c r="H22" s="4">
        <v>600</v>
      </c>
      <c r="I22" s="4">
        <v>610</v>
      </c>
      <c r="J22" s="4">
        <f>I22-H22</f>
        <v>10</v>
      </c>
      <c r="K22" s="5">
        <f>IF(H22=0,0,J22/H22)</f>
        <v>0.016666666666666666</v>
      </c>
    </row>
    <row r="23">
      <c r="A23" s="0" t="s">
        <v>56</v>
      </c>
      <c r="B23" s="0" t="s">
        <v>57</v>
      </c>
      <c r="C23" s="4">
        <v>2000</v>
      </c>
      <c r="D23" s="4">
        <v>1500</v>
      </c>
      <c r="E23" s="4">
        <v>1470</v>
      </c>
      <c r="F23" s="4">
        <f>E23-D23</f>
        <v>-30</v>
      </c>
      <c r="G23" s="5">
        <f>IF(D23=0,0,F23/D23)</f>
        <v>-0.02</v>
      </c>
      <c r="H23" s="4">
        <v>1200</v>
      </c>
      <c r="I23" s="4">
        <v>1180</v>
      </c>
      <c r="J23" s="4">
        <f>I23-H23</f>
        <v>-20</v>
      </c>
      <c r="K23" s="5">
        <f>IF(H23=0,0,J23/H23)</f>
        <v>-0.016666666666666666</v>
      </c>
    </row>
    <row r="24">
      <c r="A24" s="0" t="s">
        <v>58</v>
      </c>
      <c r="B24" s="0" t="s">
        <v>59</v>
      </c>
      <c r="C24" s="4">
        <v>3200</v>
      </c>
      <c r="D24" s="4">
        <v>2400</v>
      </c>
      <c r="E24" s="4">
        <v>2430</v>
      </c>
      <c r="F24" s="4">
        <f>E24-D24</f>
        <v>30</v>
      </c>
      <c r="G24" s="5">
        <f>IF(D24=0,0,F24/D24)</f>
        <v>0.0125</v>
      </c>
      <c r="H24" s="4">
        <v>1900</v>
      </c>
      <c r="I24" s="4">
        <v>1920</v>
      </c>
      <c r="J24" s="4">
        <f>I24-H24</f>
        <v>20</v>
      </c>
      <c r="K24" s="5">
        <f>IF(H24=0,0,J24/H24)</f>
        <v>0.010526315789473684</v>
      </c>
    </row>
    <row r="25">
      <c r="A25" s="0" t="s">
        <v>60</v>
      </c>
      <c r="B25" s="0" t="s">
        <v>61</v>
      </c>
      <c r="C25" s="4">
        <v>4400</v>
      </c>
      <c r="D25" s="4">
        <v>3300</v>
      </c>
      <c r="E25" s="4">
        <v>3180</v>
      </c>
      <c r="F25" s="4">
        <f>E25-D25</f>
        <v>-120</v>
      </c>
      <c r="G25" s="5">
        <f>IF(D25=0,0,F25/D25)</f>
        <v>-0.03636363636363636</v>
      </c>
      <c r="H25" s="4">
        <v>2500</v>
      </c>
      <c r="I25" s="4">
        <v>2430</v>
      </c>
      <c r="J25" s="4">
        <f>I25-H25</f>
        <v>-70</v>
      </c>
      <c r="K25" s="5">
        <f>IF(H25=0,0,J25/H25)</f>
        <v>-0.028</v>
      </c>
      <c r="L25" s="6" t="s">
        <v>62</v>
      </c>
    </row>
    <row r="26">
      <c r="A26" s="0" t="s">
        <v>63</v>
      </c>
      <c r="B26" s="0" t="s">
        <v>64</v>
      </c>
      <c r="C26" s="4">
        <v>1800</v>
      </c>
      <c r="D26" s="4">
        <v>1000</v>
      </c>
      <c r="E26" s="4">
        <v>960</v>
      </c>
      <c r="F26" s="4">
        <f>E26-D26</f>
        <v>-40</v>
      </c>
      <c r="G26" s="5">
        <f>IF(D26=0,0,F26/D26)</f>
        <v>-0.04</v>
      </c>
      <c r="H26" s="4">
        <v>600</v>
      </c>
      <c r="I26" s="4">
        <v>560</v>
      </c>
      <c r="J26" s="4">
        <f>I26-H26</f>
        <v>-40</v>
      </c>
      <c r="K26" s="5">
        <f>IF(H26=0,0,J26/H26)</f>
        <v>-0.06666666666666667</v>
      </c>
    </row>
    <row r="27">
      <c r="A27" s="0" t="s">
        <v>65</v>
      </c>
      <c r="B27" s="0" t="s">
        <v>66</v>
      </c>
      <c r="C27" s="4">
        <v>2600</v>
      </c>
      <c r="D27" s="4">
        <v>1950</v>
      </c>
      <c r="E27" s="4">
        <v>1970</v>
      </c>
      <c r="F27" s="4">
        <f>E27-D27</f>
        <v>20</v>
      </c>
      <c r="G27" s="5">
        <f>IF(D27=0,0,F27/D27)</f>
        <v>0.010256410256410256</v>
      </c>
      <c r="H27" s="4">
        <v>1500</v>
      </c>
      <c r="I27" s="4">
        <v>1490</v>
      </c>
      <c r="J27" s="4">
        <f>I27-H27</f>
        <v>-10</v>
      </c>
      <c r="K27" s="5">
        <f>IF(H27=0,0,J27/H27)</f>
        <v>-0.006666666666666667</v>
      </c>
    </row>
    <row r="28">
      <c r="A28" s="0" t="s">
        <v>67</v>
      </c>
      <c r="B28" s="0" t="s">
        <v>68</v>
      </c>
      <c r="C28" s="4">
        <v>500</v>
      </c>
      <c r="D28" s="4">
        <v>300</v>
      </c>
      <c r="E28" s="4">
        <v>280</v>
      </c>
      <c r="F28" s="4">
        <f>E28-D28</f>
        <v>-20</v>
      </c>
      <c r="G28" s="5">
        <f>IF(D28=0,0,F28/D28)</f>
        <v>-0.06666666666666667</v>
      </c>
      <c r="H28" s="4">
        <v>260</v>
      </c>
      <c r="I28" s="4">
        <v>240</v>
      </c>
      <c r="J28" s="4">
        <f>I28-H28</f>
        <v>-20</v>
      </c>
      <c r="K28" s="5">
        <f>IF(H28=0,0,J28/H28)</f>
        <v>-0.07692307692307693</v>
      </c>
    </row>
    <row r="29">
      <c r="A29" s="0" t="s">
        <v>69</v>
      </c>
      <c r="B29" s="0" t="s">
        <v>70</v>
      </c>
      <c r="C29" s="4">
        <v>1400</v>
      </c>
      <c r="D29" s="4">
        <v>1050</v>
      </c>
      <c r="E29" s="4">
        <v>1040</v>
      </c>
      <c r="F29" s="4">
        <f>E29-D29</f>
        <v>-10</v>
      </c>
      <c r="G29" s="5">
        <f>IF(D29=0,0,F29/D29)</f>
        <v>-0.009523809523809525</v>
      </c>
      <c r="H29" s="4">
        <v>900</v>
      </c>
      <c r="I29" s="4">
        <v>890</v>
      </c>
      <c r="J29" s="4">
        <f>I29-H29</f>
        <v>-10</v>
      </c>
      <c r="K29" s="5">
        <f>IF(H29=0,0,J29/H29)</f>
        <v>-0.011111111111111112</v>
      </c>
    </row>
    <row r="30">
      <c r="A30" s="0" t="s">
        <v>71</v>
      </c>
      <c r="B30" s="0" t="s">
        <v>72</v>
      </c>
      <c r="C30" s="4">
        <v>700</v>
      </c>
      <c r="D30" s="4">
        <v>525</v>
      </c>
      <c r="E30" s="4">
        <v>540</v>
      </c>
      <c r="F30" s="4">
        <f>E30-D30</f>
        <v>15</v>
      </c>
      <c r="G30" s="5">
        <f>IF(D30=0,0,F30/D30)</f>
        <v>0.02857142857142857</v>
      </c>
      <c r="H30" s="4">
        <v>460</v>
      </c>
      <c r="I30" s="4">
        <v>470</v>
      </c>
      <c r="J30" s="4">
        <f>I30-H30</f>
        <v>10</v>
      </c>
      <c r="K30" s="5">
        <f>IF(H30=0,0,J30/H30)</f>
        <v>0.021739130434782608</v>
      </c>
    </row>
    <row r="31">
      <c r="A31" s="7" t="s">
        <v>73</v>
      </c>
      <c r="B31" s="7" t="s">
        <v>74</v>
      </c>
      <c r="C31" s="8">
        <f>SUM(C6:C30)</f>
        <v>85000</v>
      </c>
      <c r="D31" s="8">
        <f>SUM(D6:D30)</f>
        <v>63495</v>
      </c>
      <c r="E31" s="8">
        <f>SUM(E6:E30)</f>
        <v>64460</v>
      </c>
      <c r="F31" s="8">
        <f>E31-D31</f>
        <v>965</v>
      </c>
      <c r="G31" s="9">
        <f>IF(D31=0,0,F31/D31)</f>
        <v>0.015198047090322072</v>
      </c>
      <c r="H31" s="8">
        <f>SUM(H6:H30)</f>
        <v>48460</v>
      </c>
      <c r="I31" s="8">
        <f>SUM(I6:I30)</f>
        <v>44880</v>
      </c>
      <c r="J31" s="8">
        <f>I31-H31</f>
        <v>-3580</v>
      </c>
      <c r="K31" s="9">
        <f>IF(H31=0,0,J31/H31)</f>
        <v>-0.07387536112257533</v>
      </c>
    </row>
    <row r="33">
      <c r="A33" s="10" t="s">
        <v>75</v>
      </c>
    </row>
    <row r="34">
      <c r="A34" s="10" t="s">
        <v>76</v>
      </c>
    </row>
  </sheetData>
  <pageMargins left="0.4" right="0.4" top="0.5" bottom="0.5" header="0.3" footer="0.3"/>
  <pageSetup orientation="landscape" fitToWidth="1" fitToHeight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FY26 Q3 Execution Report — Operation and Maintenance (O&amp;M) (Synthetic demonstration data)</dc:title>
  <dc:creator>Synthetic demonstration data</dc:creator>
  <dcterms:created xsi:type="dcterms:W3CDTF">2026-07-10T00:00:00Z</dcterms:created>
</cp:coreProperties>
</file>